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rastructure" sheetId="1" state="visible" r:id="rId3"/>
    <sheet name="Population_Density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<sst xmlns="http://schemas.openxmlformats.org/spreadsheetml/2006/main" count="57" uniqueCount="42">
  <si>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t xml:space="preserve">Zone_ID</t>
  </si>
  <si>
    <t xml:space="preserve">Zone_Name</t>
  </si>
  <si>
    <t xml:space="preserve">Region</t>
  </si>
  <si>
    <t xml:space="preserve">Population</t>
  </si>
  <si>
    <t xml:space="preserve">Area_SqKm</t>
  </si>
  <si>
    <t xml:space="preserve">Hospitals</t>
  </si>
  <si>
    <t xml:space="preserve">Schools</t>
  </si>
  <si>
    <t xml:space="preserve">Roads_Km</t>
  </si>
  <si>
    <t xml:space="preserve">Energy_Consumption_MW</t>
  </si>
  <si>
    <t xml:space="preserve">Water_Usage_ML</t>
  </si>
  <si>
    <t xml:space="preserve">Green_Cover_Pct</t>
  </si>
  <si>
    <t xml:space="preserve">CCTV_Count</t>
  </si>
  <si>
    <t xml:space="preserve">Police_Stations</t>
  </si>
  <si>
    <t xml:space="preserve">Fire_Stations</t>
  </si>
  <si>
    <t xml:space="preserve">Infra_Score</t>
  </si>
  <si>
    <t xml:space="preserve">Zone 1</t>
  </si>
  <si>
    <t xml:space="preserve">North</t>
  </si>
  <si>
    <t xml:space="preserve">Zone 2</t>
  </si>
  <si>
    <t xml:space="preserve">Zone 3</t>
  </si>
  <si>
    <t xml:space="preserve">Central</t>
  </si>
  <si>
    <t xml:space="preserve">Zone 4</t>
  </si>
  <si>
    <t xml:space="preserve">Zone 5</t>
  </si>
  <si>
    <t xml:space="preserve">South</t>
  </si>
  <si>
    <t xml:space="preserve">Zone 6</t>
  </si>
  <si>
    <t xml:space="preserve">Zone 7</t>
  </si>
  <si>
    <t xml:space="preserve">East</t>
  </si>
  <si>
    <t xml:space="preserve">Zone 8</t>
  </si>
  <si>
    <t xml:space="preserve">West</t>
  </si>
  <si>
    <t xml:space="preserve">Pop_Density_per_SqKm</t>
  </si>
  <si>
    <t xml:space="preserve">Density_Category</t>
  </si>
  <si>
    <t xml:space="preserve">Smart City — Infrastructure Dataset</t>
  </si>
  <si>
    <t xml:space="preserve">Purpose</t>
  </si>
  <si>
    <t xml:space="preserve">Zone-level infrastructure capacity and resource data</t>
  </si>
  <si>
    <t xml:space="preserve">Rows</t>
  </si>
  <si>
    <t xml:space="preserve">8 zones (one row per zone — dimension table)</t>
  </si>
  <si>
    <t xml:space="preserve">Key join</t>
  </si>
  <si>
    <t xml:space="preserve">Zone_Name links to city_incidents.xlsx Zone column</t>
  </si>
  <si>
    <t xml:space="preserve">Composite score (0-100) — formula in col O, built in Excel</t>
  </si>
  <si>
    <t xml:space="preserve">Power Query tasks</t>
  </si>
  <si>
    <t xml:space="preserve">1. Merge with incidents on Zone_Name  2. Add Pop Density column  3. Classify zones by infra score  4. Rename columns to sentence case</t>
  </si>
  <si>
    <t xml:space="preserve">DAX measures</t>
  </si>
  <si>
    <t xml:space="preserve">Incidents per 1000 people = [Total Incidents] / SUM(Population) * 1000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</si>
</sst>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8F0FE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B2D"/>
        <bgColor rgb="FF000000"/>
      </patternFill>
    </fill>
    <fill>
      <patternFill patternType="solid">
        <fgColor rgb="FFF4F6FA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6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s">
        <v>15</v>
      </c>
      <c r="C2" s="2" t="s">
        <v>16</v>
      </c>
      <c r="D2" s="3" t="n">
        <v>320000</v>
      </c>
      <c r="E2" s="2" t="n">
        <v>42</v>
      </c>
      <c r="F2" s="2" t="n">
        <v>6</v>
      </c>
      <c r="G2" s="2" t="n">
        <v>28</v>
      </c>
      <c r="H2" s="2" t="n">
        <v>180</v>
      </c>
      <c r="I2" s="2" t="n">
        <v>420</v>
      </c>
      <c r="J2" s="4" t="n">
        <v>310</v>
      </c>
      <c r="K2" s="2" t="n">
        <v>18</v>
      </c>
      <c r="L2" s="2" t="n">
        <v>850</v>
      </c>
      <c r="M2" s="2" t="n">
        <v>4</v>
      </c>
      <c r="N2" s="2" t="n">
        <v>3</v>
      </c>
      <c r="O2" s="5" t="n">
        <f aca="false">ROUND(((F2/10)*25 + (G2/45)*25 + (H2/240)*20 + (J2)*0.01 + (K2/30)*15 + (L2/1240)*15),1)</f>
        <v>67.9</v>
      </c>
    </row>
    <row r="3" customFormat="false" ht="15" hidden="false" customHeight="false" outlineLevel="0" collapsed="false">
      <c r="A3" s="6" t="n">
        <v>2</v>
      </c>
      <c r="B3" s="6" t="s">
        <v>17</v>
      </c>
      <c r="C3" s="6" t="s">
        <v>16</v>
      </c>
      <c r="D3" s="7" t="n">
        <v>180000</v>
      </c>
      <c r="E3" s="6" t="n">
        <v>31</v>
      </c>
      <c r="F3" s="6" t="n">
        <v>3</v>
      </c>
      <c r="G3" s="6" t="n">
        <v>18</v>
      </c>
      <c r="H3" s="6" t="n">
        <v>120</v>
      </c>
      <c r="I3" s="6" t="n">
        <v>280</v>
      </c>
      <c r="J3" s="8" t="n">
        <v>190</v>
      </c>
      <c r="K3" s="6" t="n">
        <v>26</v>
      </c>
      <c r="L3" s="6" t="n">
        <v>520</v>
      </c>
      <c r="M3" s="6" t="n">
        <v>2</v>
      </c>
      <c r="N3" s="6" t="n">
        <v>2</v>
      </c>
      <c r="O3" s="5" t="n">
        <f aca="false">ROUND(((F3/10)*25 + (G3/45)*25 + (H3/240)*20 + (J3)*0.01 + (K3/30)*15 + (L3/1240)*15),1)</f>
        <v>48.7</v>
      </c>
    </row>
    <row r="4" customFormat="false" ht="15" hidden="false" customHeight="false" outlineLevel="0" collapsed="false">
      <c r="A4" s="2" t="n">
        <v>3</v>
      </c>
      <c r="B4" s="2" t="s">
        <v>18</v>
      </c>
      <c r="C4" s="2" t="s">
        <v>19</v>
      </c>
      <c r="D4" s="3" t="n">
        <v>510000</v>
      </c>
      <c r="E4" s="2" t="n">
        <v>38</v>
      </c>
      <c r="F4" s="2" t="n">
        <v>10</v>
      </c>
      <c r="G4" s="2" t="n">
        <v>45</v>
      </c>
      <c r="H4" s="2" t="n">
        <v>240</v>
      </c>
      <c r="I4" s="2" t="n">
        <v>680</v>
      </c>
      <c r="J4" s="4" t="n">
        <v>480</v>
      </c>
      <c r="K4" s="2" t="n">
        <v>12</v>
      </c>
      <c r="L4" s="2" t="n">
        <v>1240</v>
      </c>
      <c r="M4" s="2" t="n">
        <v>7</v>
      </c>
      <c r="N4" s="2" t="n">
        <v>5</v>
      </c>
      <c r="O4" s="5" t="n">
        <f aca="false">ROUND(((F4/10)*25 + (G4/45)*25 + (H4/240)*20 + (J4)*0.01 + (K4/30)*15 + (L4/1240)*15),1)</f>
        <v>95.8</v>
      </c>
    </row>
    <row r="5" customFormat="false" ht="15" hidden="false" customHeight="false" outlineLevel="0" collapsed="false">
      <c r="A5" s="6" t="n">
        <v>4</v>
      </c>
      <c r="B5" s="6" t="s">
        <v>20</v>
      </c>
      <c r="C5" s="6" t="s">
        <v>19</v>
      </c>
      <c r="D5" s="7" t="n">
        <v>290000</v>
      </c>
      <c r="E5" s="6" t="n">
        <v>35</v>
      </c>
      <c r="F5" s="6" t="n">
        <v>5</v>
      </c>
      <c r="G5" s="6" t="n">
        <v>22</v>
      </c>
      <c r="H5" s="6" t="n">
        <v>160</v>
      </c>
      <c r="I5" s="6" t="n">
        <v>350</v>
      </c>
      <c r="J5" s="8" t="n">
        <v>250</v>
      </c>
      <c r="K5" s="6" t="n">
        <v>22</v>
      </c>
      <c r="L5" s="6" t="n">
        <v>710</v>
      </c>
      <c r="M5" s="6" t="n">
        <v>3</v>
      </c>
      <c r="N5" s="6" t="n">
        <v>3</v>
      </c>
      <c r="O5" s="5" t="n">
        <f aca="false">ROUND(((F5/10)*25 + (G5/45)*25 + (H5/240)*20 + (J5)*0.01 + (K5/30)*15 + (L5/1240)*15),1)</f>
        <v>60.1</v>
      </c>
    </row>
    <row r="6" customFormat="false" ht="15" hidden="false" customHeight="false" outlineLevel="0" collapsed="false">
      <c r="A6" s="2" t="n">
        <v>5</v>
      </c>
      <c r="B6" s="2" t="s">
        <v>21</v>
      </c>
      <c r="C6" s="2" t="s">
        <v>22</v>
      </c>
      <c r="D6" s="3" t="n">
        <v>430000</v>
      </c>
      <c r="E6" s="2" t="n">
        <v>55</v>
      </c>
      <c r="F6" s="2" t="n">
        <v>8</v>
      </c>
      <c r="G6" s="2" t="n">
        <v>36</v>
      </c>
      <c r="H6" s="2" t="n">
        <v>210</v>
      </c>
      <c r="I6" s="2" t="n">
        <v>570</v>
      </c>
      <c r="J6" s="4" t="n">
        <v>400</v>
      </c>
      <c r="K6" s="2" t="n">
        <v>15</v>
      </c>
      <c r="L6" s="2" t="n">
        <v>980</v>
      </c>
      <c r="M6" s="2" t="n">
        <v>5</v>
      </c>
      <c r="N6" s="2" t="n">
        <v>4</v>
      </c>
      <c r="O6" s="5" t="n">
        <f aca="false">ROUND(((F6/10)*25 + (G6/45)*25 + (H6/240)*20 + (J6)*0.01 + (K6/30)*15 + (L6/1240)*15),1)</f>
        <v>80.9</v>
      </c>
    </row>
    <row r="7" customFormat="false" ht="15" hidden="false" customHeight="false" outlineLevel="0" collapsed="false">
      <c r="A7" s="6" t="n">
        <v>6</v>
      </c>
      <c r="B7" s="6" t="s">
        <v>23</v>
      </c>
      <c r="C7" s="6" t="s">
        <v>22</v>
      </c>
      <c r="D7" s="7" t="n">
        <v>160000</v>
      </c>
      <c r="E7" s="6" t="n">
        <v>28</v>
      </c>
      <c r="F7" s="6" t="n">
        <v>2</v>
      </c>
      <c r="G7" s="6" t="n">
        <v>14</v>
      </c>
      <c r="H7" s="6" t="n">
        <v>100</v>
      </c>
      <c r="I7" s="6" t="n">
        <v>210</v>
      </c>
      <c r="J7" s="8" t="n">
        <v>150</v>
      </c>
      <c r="K7" s="6" t="n">
        <v>30</v>
      </c>
      <c r="L7" s="6" t="n">
        <v>440</v>
      </c>
      <c r="M7" s="6" t="n">
        <v>2</v>
      </c>
      <c r="N7" s="6" t="n">
        <v>2</v>
      </c>
      <c r="O7" s="5" t="n">
        <f aca="false">ROUND(((F7/10)*25 + (G7/45)*25 + (H7/240)*20 + (J7)*0.01 + (K7/30)*15 + (L7/1240)*15),1)</f>
        <v>42.9</v>
      </c>
    </row>
    <row r="8" customFormat="false" ht="15" hidden="false" customHeight="false" outlineLevel="0" collapsed="false">
      <c r="A8" s="2" t="n">
        <v>7</v>
      </c>
      <c r="B8" s="2" t="s">
        <v>24</v>
      </c>
      <c r="C8" s="2" t="s">
        <v>25</v>
      </c>
      <c r="D8" s="3" t="n">
        <v>370000</v>
      </c>
      <c r="E8" s="2" t="n">
        <v>46</v>
      </c>
      <c r="F8" s="2" t="n">
        <v>7</v>
      </c>
      <c r="G8" s="2" t="n">
        <v>30</v>
      </c>
      <c r="H8" s="2" t="n">
        <v>190</v>
      </c>
      <c r="I8" s="2" t="n">
        <v>490</v>
      </c>
      <c r="J8" s="4" t="n">
        <v>340</v>
      </c>
      <c r="K8" s="2" t="n">
        <v>20</v>
      </c>
      <c r="L8" s="2" t="n">
        <v>860</v>
      </c>
      <c r="M8" s="2" t="n">
        <v>4</v>
      </c>
      <c r="N8" s="2" t="n">
        <v>3</v>
      </c>
      <c r="O8" s="5" t="n">
        <f aca="false">ROUND(((F8/10)*25 + (G8/45)*25 + (H8/240)*20 + (J8)*0.01 + (K8/30)*15 + (L8/1240)*15),1)</f>
        <v>73.8</v>
      </c>
    </row>
    <row r="9" customFormat="false" ht="15" hidden="false" customHeight="false" outlineLevel="0" collapsed="false">
      <c r="A9" s="6" t="n">
        <v>8</v>
      </c>
      <c r="B9" s="6" t="s">
        <v>26</v>
      </c>
      <c r="C9" s="6" t="s">
        <v>27</v>
      </c>
      <c r="D9" s="7" t="n">
        <v>240000</v>
      </c>
      <c r="E9" s="6" t="n">
        <v>33</v>
      </c>
      <c r="F9" s="6" t="n">
        <v>4</v>
      </c>
      <c r="G9" s="6" t="n">
        <v>20</v>
      </c>
      <c r="H9" s="6" t="n">
        <v>140</v>
      </c>
      <c r="I9" s="6" t="n">
        <v>320</v>
      </c>
      <c r="J9" s="8" t="n">
        <v>220</v>
      </c>
      <c r="K9" s="6" t="n">
        <v>24</v>
      </c>
      <c r="L9" s="6" t="n">
        <v>600</v>
      </c>
      <c r="M9" s="6" t="n">
        <v>3</v>
      </c>
      <c r="N9" s="6" t="n">
        <v>2</v>
      </c>
      <c r="O9" s="5" t="n">
        <f aca="false">ROUND(((F9/10)*25 + (G9/45)*25 + (H9/240)*20 + (J9)*0.01 + (K9/30)*15 + (L9/1240)*15),1)</f>
        <v>54.2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28</v>
      </c>
      <c r="E1" s="1" t="s">
        <v>29</v>
      </c>
    </row>
    <row r="2" customFormat="false" ht="15" hidden="false" customHeight="false" outlineLevel="0" collapsed="false">
      <c r="A2" s="6" t="s">
        <v>15</v>
      </c>
      <c r="B2" s="6" t="n">
        <v>320000</v>
      </c>
      <c r="C2" s="6" t="n">
        <v>42</v>
      </c>
      <c r="D2" s="6" t="n">
        <f aca="false">ROUND(B2/C2,0)</f>
        <v>7619</v>
      </c>
      <c r="E2" s="6" t="str">
        <f aca="false">IF(D2&gt;10000,"High Density",IF(D2&gt;6000,"Medium","Low"))</f>
        <v>Medium</v>
      </c>
    </row>
    <row r="3" customFormat="false" ht="15" hidden="false" customHeight="false" outlineLevel="0" collapsed="false">
      <c r="A3" s="6" t="s">
        <v>17</v>
      </c>
      <c r="B3" s="6" t="n">
        <v>180000</v>
      </c>
      <c r="C3" s="6" t="n">
        <v>31</v>
      </c>
      <c r="D3" s="6" t="n">
        <f aca="false">ROUND(B3/C3,0)</f>
        <v>5806</v>
      </c>
      <c r="E3" s="6" t="str">
        <f aca="false">IF(D3&gt;10000,"High Density",IF(D3&gt;6000,"Medium","Low"))</f>
        <v>Low</v>
      </c>
    </row>
    <row r="4" customFormat="false" ht="15" hidden="false" customHeight="false" outlineLevel="0" collapsed="false">
      <c r="A4" s="6" t="s">
        <v>18</v>
      </c>
      <c r="B4" s="6" t="n">
        <v>510000</v>
      </c>
      <c r="C4" s="6" t="n">
        <v>38</v>
      </c>
      <c r="D4" s="6" t="n">
        <f aca="false">ROUND(B4/C4,0)</f>
        <v>13421</v>
      </c>
      <c r="E4" s="6" t="str">
        <f aca="false">IF(D4&gt;10000,"High Density",IF(D4&gt;6000,"Medium","Low"))</f>
        <v>High Density</v>
      </c>
    </row>
    <row r="5" customFormat="false" ht="15" hidden="false" customHeight="false" outlineLevel="0" collapsed="false">
      <c r="A5" s="6" t="s">
        <v>20</v>
      </c>
      <c r="B5" s="6" t="n">
        <v>290000</v>
      </c>
      <c r="C5" s="6" t="n">
        <v>35</v>
      </c>
      <c r="D5" s="6" t="n">
        <f aca="false">ROUND(B5/C5,0)</f>
        <v>8286</v>
      </c>
      <c r="E5" s="6" t="str">
        <f aca="false">IF(D5&gt;10000,"High Density",IF(D5&gt;6000,"Medium","Low"))</f>
        <v>Medium</v>
      </c>
    </row>
    <row r="6" customFormat="false" ht="15" hidden="false" customHeight="false" outlineLevel="0" collapsed="false">
      <c r="A6" s="6" t="s">
        <v>21</v>
      </c>
      <c r="B6" s="6" t="n">
        <v>430000</v>
      </c>
      <c r="C6" s="6" t="n">
        <v>55</v>
      </c>
      <c r="D6" s="6" t="n">
        <f aca="false">ROUND(B6/C6,0)</f>
        <v>7818</v>
      </c>
      <c r="E6" s="6" t="str">
        <f aca="false">IF(D6&gt;10000,"High Density",IF(D6&gt;6000,"Medium","Low"))</f>
        <v>Medium</v>
      </c>
    </row>
    <row r="7" customFormat="false" ht="15" hidden="false" customHeight="false" outlineLevel="0" collapsed="false">
      <c r="A7" s="6" t="s">
        <v>23</v>
      </c>
      <c r="B7" s="6" t="n">
        <v>160000</v>
      </c>
      <c r="C7" s="6" t="n">
        <v>28</v>
      </c>
      <c r="D7" s="6" t="n">
        <f aca="false">ROUND(B7/C7,0)</f>
        <v>5714</v>
      </c>
      <c r="E7" s="6" t="str">
        <f aca="false">IF(D7&gt;10000,"High Density",IF(D7&gt;6000,"Medium","Low"))</f>
        <v>Low</v>
      </c>
    </row>
    <row r="8" customFormat="false" ht="15" hidden="false" customHeight="false" outlineLevel="0" collapsed="false">
      <c r="A8" s="6" t="s">
        <v>24</v>
      </c>
      <c r="B8" s="6" t="n">
        <v>370000</v>
      </c>
      <c r="C8" s="6" t="n">
        <v>46</v>
      </c>
      <c r="D8" s="6" t="n">
        <f aca="false">ROUND(B8/C8,0)</f>
        <v>8043</v>
      </c>
      <c r="E8" s="6" t="str">
        <f aca="false">IF(D8&gt;10000,"High Density",IF(D8&gt;6000,"Medium","Low"))</f>
        <v>Medium</v>
      </c>
    </row>
    <row r="9" customFormat="false" ht="15" hidden="false" customHeight="false" outlineLevel="0" collapsed="false">
      <c r="A9" s="6" t="s">
        <v>26</v>
      </c>
      <c r="B9" s="6" t="n">
        <v>240000</v>
      </c>
      <c r="C9" s="6" t="n">
        <v>33</v>
      </c>
      <c r="D9" s="6" t="n">
        <f aca="false">ROUND(B9/C9,0)</f>
        <v>7273</v>
      </c>
      <c r="E9" s="6" t="str">
        <f aca="false">IF(D9&gt;10000,"High Density",IF(D9&gt;6000,"Medium","Low"))</f>
        <v>Medium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</cols>
  <sheetData>
    <row r="1" customFormat="false" ht="16.15" hidden="false" customHeight="false" outlineLevel="0" collapsed="false">
      <c r="A1" s="9" t="s">
        <v>30</v>
      </c>
    </row>
    <row r="3" customFormat="false" ht="15" hidden="false" customHeight="false" outlineLevel="0" collapsed="false">
      <c r="A3" s="10" t="s">
        <v>31</v>
      </c>
      <c r="B3" s="11" t="s">
        <v>32</v>
      </c>
    </row>
    <row r="4" customFormat="false" ht="15" hidden="false" customHeight="false" outlineLevel="0" collapsed="false">
      <c r="A4" s="10" t="s">
        <v>33</v>
      </c>
      <c r="B4" s="11" t="s">
        <v>34</v>
      </c>
    </row>
    <row r="5" customFormat="false" ht="15" hidden="false" customHeight="false" outlineLevel="0" collapsed="false">
      <c r="A5" s="10" t="s">
        <v>35</v>
      </c>
      <c r="B5" s="11" t="s">
        <v>36</v>
      </c>
    </row>
    <row r="6" customFormat="false" ht="15" hidden="false" customHeight="false" outlineLevel="0" collapsed="false">
      <c r="A6" s="10" t="s">
        <v>14</v>
      </c>
      <c r="B6" s="11" t="s">
        <v>37</v>
      </c>
    </row>
    <row r="7" customFormat="false" ht="15" hidden="false" customHeight="false" outlineLevel="0" collapsed="false">
      <c r="A7" s="10" t="s">
        <v>38</v>
      </c>
      <c r="B7" s="11" t="s">
        <v>39</v>
      </c>
    </row>
    <row r="8" customFormat="false" ht="15" hidden="false" customHeight="false" outlineLevel="0" collapsed="false">
      <c r="A8" s="10" t="s">
        <v>40</v>
      </c>
      <c r="B8" s="1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2026-04-07T05:45:26Z</dcterms:created>
  <dc:creator>openpyxl</dc:creator>
  <dc:description/>
  <dc:language>en-US</dc:language>
  <cp:lastModifiedBy/>
  <dcterms:modified xsi:type="dcterms:W3CDTF">2026-04-07T05:45:26Z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